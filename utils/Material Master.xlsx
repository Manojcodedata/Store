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project\code\"/>
    </mc:Choice>
  </mc:AlternateContent>
  <xr:revisionPtr revIDLastSave="0" documentId="13_ncr:1_{8FF1E3D5-87ED-46DA-B0B0-C94467EEFB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01 (2)" sheetId="1" r:id="rId1"/>
  </sheets>
  <definedNames>
    <definedName name="_xlnm._FilterDatabase" localSheetId="0" hidden="1">'01 (2)'!$A$1:$B$135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0" i="1" l="1"/>
  <c r="B222" i="1"/>
  <c r="B216" i="1"/>
  <c r="B210" i="1"/>
  <c r="B198" i="1"/>
  <c r="B193" i="1"/>
  <c r="B132" i="1"/>
  <c r="B131" i="1"/>
  <c r="B127" i="1"/>
  <c r="B119" i="1"/>
  <c r="B93" i="1"/>
  <c r="B78" i="1"/>
  <c r="B73" i="1"/>
  <c r="B72" i="1"/>
  <c r="B68" i="1"/>
  <c r="B65" i="1"/>
  <c r="B60" i="1"/>
  <c r="B55" i="1"/>
  <c r="B53" i="1"/>
  <c r="B49" i="1"/>
  <c r="B31" i="1"/>
  <c r="B22" i="1"/>
</calcChain>
</file>

<file path=xl/sharedStrings.xml><?xml version="1.0" encoding="utf-8"?>
<sst xmlns="http://schemas.openxmlformats.org/spreadsheetml/2006/main" count="281" uniqueCount="281">
  <si>
    <t>Item</t>
  </si>
  <si>
    <t>Rate</t>
  </si>
  <si>
    <t>Ajwan(Vamu)</t>
  </si>
  <si>
    <t>8 to 8 Sauce</t>
  </si>
  <si>
    <t>Aromatic Powder</t>
  </si>
  <si>
    <t>Avalu(Mustard)</t>
  </si>
  <si>
    <t>Badam</t>
  </si>
  <si>
    <t>Badam Mix</t>
  </si>
  <si>
    <t>Baking Soda</t>
  </si>
  <si>
    <t>Bay Leaf</t>
  </si>
  <si>
    <t>Beingi Mirchi</t>
  </si>
  <si>
    <t>Bellam Pepper Tea</t>
  </si>
  <si>
    <t>Besan Flour</t>
  </si>
  <si>
    <t>Black Orid Dhal</t>
  </si>
  <si>
    <t>Black Pepper Powder</t>
  </si>
  <si>
    <t>Black Salt</t>
  </si>
  <si>
    <t>Boiled Rice</t>
  </si>
  <si>
    <t>Bread Crums</t>
  </si>
  <si>
    <t>Briyani Rice Dawat</t>
  </si>
  <si>
    <t>Briyani Rice Tree</t>
  </si>
  <si>
    <t>Capsico Sauce</t>
  </si>
  <si>
    <t>Cardamom</t>
  </si>
  <si>
    <t>Chaki Aata</t>
  </si>
  <si>
    <t>Chana Dal</t>
  </si>
  <si>
    <t>Chat Masala</t>
  </si>
  <si>
    <t>Chicken Masala ( 50 Gm )</t>
  </si>
  <si>
    <t>Chilli Powder</t>
  </si>
  <si>
    <t>Chilli Sauce</t>
  </si>
  <si>
    <t>Cinnamon Stick</t>
  </si>
  <si>
    <t>Cloves ( Lavang)</t>
  </si>
  <si>
    <t>Coconut Mik</t>
  </si>
  <si>
    <t>Coconut Oil</t>
  </si>
  <si>
    <t>Coffee Powder Saucet</t>
  </si>
  <si>
    <t>Cooking Soda</t>
  </si>
  <si>
    <t>Coriander Powder</t>
  </si>
  <si>
    <t>Coriander Seeds</t>
  </si>
  <si>
    <t>Cornflex</t>
  </si>
  <si>
    <t>Cornflour</t>
  </si>
  <si>
    <t>Custard Powder</t>
  </si>
  <si>
    <t>Custard Sugar</t>
  </si>
  <si>
    <t>Dalda</t>
  </si>
  <si>
    <t>Dates (Box)</t>
  </si>
  <si>
    <t>Dosa Rice</t>
  </si>
  <si>
    <t>Dosa Rice ( Local )</t>
  </si>
  <si>
    <t>Dry Coconut</t>
  </si>
  <si>
    <t>Fried Peanut</t>
  </si>
  <si>
    <t>Gajaraj Rice(26kg)</t>
  </si>
  <si>
    <t>Garam Masala( 50 Gm )</t>
  </si>
  <si>
    <t>Gasagasalu(Kashkash)</t>
  </si>
  <si>
    <t>Gingily Oil ( Till Oil )</t>
  </si>
  <si>
    <t>Green Camphor</t>
  </si>
  <si>
    <t>Green Moong Dal</t>
  </si>
  <si>
    <t>Green Moong Dal- Split</t>
  </si>
  <si>
    <t>Green Tea Tea Time</t>
  </si>
  <si>
    <t>Guntur Mirchi(Sabith)</t>
  </si>
  <si>
    <t>Honey</t>
  </si>
  <si>
    <t>Idly Ravva</t>
  </si>
  <si>
    <t>Idly Rice</t>
  </si>
  <si>
    <t>Jaggery(White)</t>
  </si>
  <si>
    <t>Jaggrey(Black)</t>
  </si>
  <si>
    <t>Japatri(Javtri)</t>
  </si>
  <si>
    <t>Jeera ( Cumins )</t>
  </si>
  <si>
    <t>Kabuli Chana</t>
  </si>
  <si>
    <t>Kaju 1/4</t>
  </si>
  <si>
    <t>Kaju 1/8</t>
  </si>
  <si>
    <t>Kanchi Coffee Powder</t>
  </si>
  <si>
    <t>Kashmiri Chilli Powder(500g)</t>
  </si>
  <si>
    <t>Kashmiri Tea Powder</t>
  </si>
  <si>
    <t>Kasuri Methi</t>
  </si>
  <si>
    <t>Kaveri Rice</t>
  </si>
  <si>
    <t>Kissmiss</t>
  </si>
  <si>
    <t>Kitchen King Masala(Eve)</t>
  </si>
  <si>
    <t>Kullad Masala Tea Powder</t>
  </si>
  <si>
    <t>LG Hing (Cake)</t>
  </si>
  <si>
    <t>LG Hing(Powder)</t>
  </si>
  <si>
    <t>Lijad Pappad</t>
  </si>
  <si>
    <t>Maida</t>
  </si>
  <si>
    <t>Makhan</t>
  </si>
  <si>
    <t>Mango Chilli Powder 500 gm</t>
  </si>
  <si>
    <t>Mango Pickle</t>
  </si>
  <si>
    <t>Maratimogga</t>
  </si>
  <si>
    <t>Masoor Dal</t>
  </si>
  <si>
    <t>Meat Masala</t>
  </si>
  <si>
    <t>Melon Seeds ( Magaz)</t>
  </si>
  <si>
    <t>Methi</t>
  </si>
  <si>
    <t>Milkbikies Buiscuit</t>
  </si>
  <si>
    <t>Mixture ( 250 Gm)</t>
  </si>
  <si>
    <t>Moong Dal (Yellow)</t>
  </si>
  <si>
    <t>Noodles</t>
  </si>
  <si>
    <t>Oreo Biscuts</t>
  </si>
  <si>
    <t>Osmania Biscuit</t>
  </si>
  <si>
    <t>Palm Oil (Ruchi)15lts Tin</t>
  </si>
  <si>
    <t>Papad</t>
  </si>
  <si>
    <t>Pepper</t>
  </si>
  <si>
    <t>Pista</t>
  </si>
  <si>
    <t>Poha</t>
  </si>
  <si>
    <t>Putana Dal</t>
  </si>
  <si>
    <t xml:space="preserve">Putana Karam </t>
  </si>
  <si>
    <t>Ragi Aata</t>
  </si>
  <si>
    <t>Rajma Dhal</t>
  </si>
  <si>
    <t>Rasam Powder</t>
  </si>
  <si>
    <t>Raw Peanut</t>
  </si>
  <si>
    <t>Rice Flour</t>
  </si>
  <si>
    <t>Rock Salt</t>
  </si>
  <si>
    <t>Rose Water</t>
  </si>
  <si>
    <t>Round Urad Dal</t>
  </si>
  <si>
    <t>Sabaki (Sabudana)</t>
  </si>
  <si>
    <t>Sabja Seeds /kg</t>
  </si>
  <si>
    <t>Saffron(1gm)</t>
  </si>
  <si>
    <t>Salt</t>
  </si>
  <si>
    <t>Sambar Masala</t>
  </si>
  <si>
    <t>Sambar Powder ( 100 GM )</t>
  </si>
  <si>
    <t>Semiya ( Vermicelli )</t>
  </si>
  <si>
    <t>Shajeera</t>
  </si>
  <si>
    <t>Somp (Big)</t>
  </si>
  <si>
    <t>Soya Sauce</t>
  </si>
  <si>
    <t xml:space="preserve">Split Urad Dal </t>
  </si>
  <si>
    <t>Sponge Cake</t>
  </si>
  <si>
    <t>Star Flower</t>
  </si>
  <si>
    <t>Stone Flower (Kalpasi)</t>
  </si>
  <si>
    <t>Sugar</t>
  </si>
  <si>
    <t>Suji Ravva</t>
  </si>
  <si>
    <t>Sun Flower Oil (FREEDOM)</t>
  </si>
  <si>
    <t>Sweet Sounf</t>
  </si>
  <si>
    <t>Tamarind(Black)</t>
  </si>
  <si>
    <t>Tamarind(White)</t>
  </si>
  <si>
    <t>Tea Powder(Staff)</t>
  </si>
  <si>
    <t>Tea Time Tea Powder</t>
  </si>
  <si>
    <t>Till Seeds ( Black) )</t>
  </si>
  <si>
    <t>Till Seeds ( White )</t>
  </si>
  <si>
    <t>Tomato Ketchup ( Suacet )</t>
  </si>
  <si>
    <t>Tomato Ketchup 1 Kg</t>
  </si>
  <si>
    <t>Tomato Sauce</t>
  </si>
  <si>
    <t>Toor Dal</t>
  </si>
  <si>
    <t>Turmeric Powder (500g)</t>
  </si>
  <si>
    <t>Vinegar</t>
  </si>
  <si>
    <t>Yellow Chilli Powder 500 gm</t>
  </si>
  <si>
    <t>Baby  Potato</t>
  </si>
  <si>
    <t>Babycorn</t>
  </si>
  <si>
    <t>Bajji Chilli</t>
  </si>
  <si>
    <t>Beans</t>
  </si>
  <si>
    <t>Beans ( Chikkudu Kaya )</t>
  </si>
  <si>
    <t>Beetroot</t>
  </si>
  <si>
    <t>Bottleguard</t>
  </si>
  <si>
    <t>Brinjal</t>
  </si>
  <si>
    <t>Brinjal Black</t>
  </si>
  <si>
    <t>Broccoli</t>
  </si>
  <si>
    <t>Cabbage</t>
  </si>
  <si>
    <t>Capsicum Green</t>
  </si>
  <si>
    <t>Capsicum Red</t>
  </si>
  <si>
    <t>Capsicum Yellow</t>
  </si>
  <si>
    <t>Carrot</t>
  </si>
  <si>
    <t>Cauliflower</t>
  </si>
  <si>
    <t xml:space="preserve">Coconut </t>
  </si>
  <si>
    <t>Coriander Leaves</t>
  </si>
  <si>
    <t>Corn Frzn</t>
  </si>
  <si>
    <t>Cucumber</t>
  </si>
  <si>
    <t>Curry Leaves</t>
  </si>
  <si>
    <t>Drumstick</t>
  </si>
  <si>
    <t>Garlic</t>
  </si>
  <si>
    <t>Ginger</t>
  </si>
  <si>
    <t>Gongura</t>
  </si>
  <si>
    <t>Green Chilli</t>
  </si>
  <si>
    <t>Green Peas Frzn</t>
  </si>
  <si>
    <t>Ladysfinger</t>
  </si>
  <si>
    <t>Lemon</t>
  </si>
  <si>
    <t>Mango Raw</t>
  </si>
  <si>
    <t>mint</t>
  </si>
  <si>
    <t>Mushroom</t>
  </si>
  <si>
    <t>Onion</t>
  </si>
  <si>
    <t>Palak</t>
  </si>
  <si>
    <t>Peeled Garlic</t>
  </si>
  <si>
    <t>Potato</t>
  </si>
  <si>
    <t>Raw Banana</t>
  </si>
  <si>
    <t>Ridge Guard</t>
  </si>
  <si>
    <t>SnakeGurad</t>
  </si>
  <si>
    <t>Spring Onion</t>
  </si>
  <si>
    <t>Sweet Pan</t>
  </si>
  <si>
    <t>Thottakura</t>
  </si>
  <si>
    <t>Tindly</t>
  </si>
  <si>
    <t>Tomato</t>
  </si>
  <si>
    <t>Tomato Bangalore</t>
  </si>
  <si>
    <t>Grapes</t>
  </si>
  <si>
    <t>Mango Fruits</t>
  </si>
  <si>
    <t>Mosambi</t>
  </si>
  <si>
    <t>Muskmelon</t>
  </si>
  <si>
    <t>Orange</t>
  </si>
  <si>
    <t>Pineapple</t>
  </si>
  <si>
    <t>Pomegranate</t>
  </si>
  <si>
    <t>Watermelon</t>
  </si>
  <si>
    <t>Amul Cheese</t>
  </si>
  <si>
    <t>Amul Fresh Cream</t>
  </si>
  <si>
    <t>Black Currant</t>
  </si>
  <si>
    <t>Butter (500g)</t>
  </si>
  <si>
    <t>Butter Scotch Ice Cream</t>
  </si>
  <si>
    <t>Chocolate Ice Cream</t>
  </si>
  <si>
    <t>Curd</t>
  </si>
  <si>
    <t>Full Cream Milk</t>
  </si>
  <si>
    <t>Ghee - Kanchi</t>
  </si>
  <si>
    <t>Khova</t>
  </si>
  <si>
    <t>Milkmaid</t>
  </si>
  <si>
    <t>Paneer</t>
  </si>
  <si>
    <t>Toned Milk</t>
  </si>
  <si>
    <t>Venilla Ice Cream</t>
  </si>
  <si>
    <t>Matka Cups/ Carton</t>
  </si>
  <si>
    <t>100 Ml  Container</t>
  </si>
  <si>
    <t>4*5 Pappad Cover</t>
  </si>
  <si>
    <t>13x16 Covers</t>
  </si>
  <si>
    <t>17x23 Covers</t>
  </si>
  <si>
    <t>250 Ml Container</t>
  </si>
  <si>
    <t>300 ML Container</t>
  </si>
  <si>
    <t>650 ML Container</t>
  </si>
  <si>
    <t>4 cp Containers</t>
  </si>
  <si>
    <t>500 Ml Container</t>
  </si>
  <si>
    <t>8 cp Containers</t>
  </si>
  <si>
    <t>Cello Tape</t>
  </si>
  <si>
    <t>Kullad Cup</t>
  </si>
  <si>
    <t>Parcel Bottles/ Box</t>
  </si>
  <si>
    <t>Samosa Plates</t>
  </si>
  <si>
    <t xml:space="preserve">8*10 Silver Cover </t>
  </si>
  <si>
    <t>Straws</t>
  </si>
  <si>
    <t>Zip Tags</t>
  </si>
  <si>
    <t>Caustic Soda</t>
  </si>
  <si>
    <t>Checked Cloth</t>
  </si>
  <si>
    <t>Doop - Tray</t>
  </si>
  <si>
    <t>Dry Mops</t>
  </si>
  <si>
    <t>Garbage Cover Big</t>
  </si>
  <si>
    <t>Garbage Cover Small</t>
  </si>
  <si>
    <t>Garbage Cover Medium</t>
  </si>
  <si>
    <t>Green Scrubbers</t>
  </si>
  <si>
    <t>Glass Cleaner 5 L</t>
  </si>
  <si>
    <t>Hard Broom</t>
  </si>
  <si>
    <t>Hand Gloves Blue</t>
  </si>
  <si>
    <t>Hand Gloves White</t>
  </si>
  <si>
    <t>Hand Wash(5 L)</t>
  </si>
  <si>
    <t>Match Box</t>
  </si>
  <si>
    <t>Napthalin Balls</t>
  </si>
  <si>
    <t>Nylon Scrubber</t>
  </si>
  <si>
    <t>Odonil</t>
  </si>
  <si>
    <t>Pithambari(200 G)</t>
  </si>
  <si>
    <t>R1(Bathroom Cleaner)</t>
  </si>
  <si>
    <t>R2(Floor Cleaner)</t>
  </si>
  <si>
    <t>R3(Glass Cleaner)</t>
  </si>
  <si>
    <t>R4(Furniture Cleaner)</t>
  </si>
  <si>
    <t>R6(Toilet Clenar)</t>
  </si>
  <si>
    <t>Roomfreshner (Odonil)</t>
  </si>
  <si>
    <t>SMOOTH CLOTH</t>
  </si>
  <si>
    <t>Soft Brooom</t>
  </si>
  <si>
    <t xml:space="preserve">Dish Wash </t>
  </si>
  <si>
    <t>Sponges</t>
  </si>
  <si>
    <t>Steel Scrubbers</t>
  </si>
  <si>
    <t>Surf 500g</t>
  </si>
  <si>
    <t>Urinal Pad</t>
  </si>
  <si>
    <t>Vim Soaps</t>
  </si>
  <si>
    <t>Mop Stick</t>
  </si>
  <si>
    <t>Wet Mops</t>
  </si>
  <si>
    <t>Wipers(Big)</t>
  </si>
  <si>
    <t>Blue Curacco</t>
  </si>
  <si>
    <t xml:space="preserve">Chocolate Syrup </t>
  </si>
  <si>
    <t>Coconut Water</t>
  </si>
  <si>
    <t>Kinley Soda</t>
  </si>
  <si>
    <t>Mango Syrup(5 Ltr)</t>
  </si>
  <si>
    <t>Nannari Sharabath</t>
  </si>
  <si>
    <t>Nutella (750g)</t>
  </si>
  <si>
    <t>Rose Syrup/ 5ltr</t>
  </si>
  <si>
    <t>Water Bottles( 500 ML )</t>
  </si>
  <si>
    <t>Bill Rolls</t>
  </si>
  <si>
    <t>Butter Paper</t>
  </si>
  <si>
    <t>Cling Wrap ( 100 Mtr )</t>
  </si>
  <si>
    <t>Disposable Plates</t>
  </si>
  <si>
    <t>Disposable Cup Coffee</t>
  </si>
  <si>
    <t>Disposable Tea Cup</t>
  </si>
  <si>
    <t>Face Mask</t>
  </si>
  <si>
    <t>Head Cape</t>
  </si>
  <si>
    <t>Silver Foil Roll</t>
  </si>
  <si>
    <t>Tea Time Tea Cup</t>
  </si>
  <si>
    <t>Tissue Paper - Kanchi</t>
  </si>
  <si>
    <t>Tooth Picks</t>
  </si>
  <si>
    <t>Wooden Spoon</t>
  </si>
  <si>
    <t>Gas 45.7 Kg</t>
  </si>
  <si>
    <t>Gas 19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</si>
</sst>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sz val="10"/>
      <color theme="1"/>
      <name val="Calibri"/>
      <charset val="134"/>
    </font>
    <font>
      <sz val="10"/>
      <name val="Calibri"/>
      <charset val="134"/>
    </font>
    <font>
      <sz val="9"/>
      <color theme="1"/>
      <name val="Calibri"/>
      <charset val="134"/>
    </font>
    <font>
      <sz val="11"/>
      <color theme="1"/>
      <name val="Calibri"/>
      <charset val="134"/>
    </font>
    <font>
      <sz val="9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 shrinkToFit="1"/>
    </xf>
    <xf numFmtId="2" fontId="0" fillId="0" borderId="0" xfId="0" applyNumberFormat="1"/>
    <xf numFmtId="0" fontId="1" fillId="2" borderId="1" xfId="0" applyFont="1" applyFill="1" applyBorder="1" applyAlignment="1">
      <alignment horizontal="center" vertical="center" wrapText="1" shrinkToFit="1"/>
    </xf>
    <xf numFmtId="2" fontId="1" fillId="3" borderId="1" xfId="0" applyNumberFormat="1" applyFont="1" applyFill="1" applyBorder="1" applyAlignment="1">
      <alignment horizontal="center" vertical="center" wrapText="1" shrinkToFit="1"/>
    </xf>
    <xf numFmtId="49" fontId="2" fillId="0" borderId="1" xfId="0" applyNumberFormat="1" applyFont="1" applyBorder="1" applyAlignment="1">
      <alignment horizontal="left" vertical="top"/>
    </xf>
    <xf numFmtId="2" fontId="2" fillId="0" borderId="2" xfId="0" applyNumberFormat="1" applyFont="1" applyBorder="1"/>
    <xf numFmtId="49" fontId="2" fillId="0" borderId="2" xfId="0" applyNumberFormat="1" applyFont="1" applyBorder="1" applyAlignment="1">
      <alignment horizontal="left"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49" fontId="4" fillId="0" borderId="1" xfId="0" applyNumberFormat="1" applyFont="1" applyBorder="1" applyAlignment="1">
      <alignment vertical="top"/>
    </xf>
    <xf numFmtId="2" fontId="5" fillId="0" borderId="1" xfId="0" applyNumberFormat="1" applyFont="1" applyBorder="1"/>
    <xf numFmtId="49" fontId="4" fillId="0" borderId="2" xfId="0" applyNumberFormat="1" applyFont="1" applyBorder="1" applyAlignment="1">
      <alignment horizontal="left" vertical="top"/>
    </xf>
    <xf numFmtId="2" fontId="5" fillId="0" borderId="2" xfId="0" applyNumberFormat="1" applyFont="1" applyBorder="1"/>
    <xf numFmtId="49" fontId="4" fillId="0" borderId="2" xfId="0" applyNumberFormat="1" applyFont="1" applyBorder="1" applyAlignment="1">
      <alignment vertical="top"/>
    </xf>
    <xf numFmtId="49" fontId="6" fillId="0" borderId="2" xfId="0" applyNumberFormat="1" applyFont="1" applyBorder="1" applyAlignment="1">
      <alignment horizontal="left" vertical="top"/>
    </xf>
    <xf numFmtId="2" fontId="0" fillId="0" borderId="2" xfId="0" applyNumberFormat="1" applyBorder="1"/>
    <xf numFmtId="0" fontId="5" fillId="0" borderId="2" xfId="0" applyFont="1" applyBorder="1"/>
    <xf numFmtId="2" fontId="5" fillId="0" borderId="2" xfId="0" applyNumberFormat="1" applyFont="1" applyBorder="1" applyAlignment="1">
      <alignment horizontal="right"/>
    </xf>
    <xf numFmtId="2" fontId="4" fillId="0" borderId="2" xfId="0" applyNumberFormat="1" applyFont="1" applyBorder="1" applyAlignment="1">
      <alignment horizontal="right" vertical="top"/>
    </xf>
    <xf numFmtId="2" fontId="4" fillId="0" borderId="2" xfId="0" applyNumberFormat="1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89" sqref="B89"/>
    </sheetView>
  </sheetViews>
  <sheetFormatPr defaultColWidth="9.140625" defaultRowHeight="15"/>
  <cols>
    <col min="1" max="1" width="26.5703125" customWidth="1"/>
    <col min="2" max="2" width="8.140625" style="2" customWidth="1"/>
  </cols>
  <sheetData>
    <row r="1" spans="1:2" s="1" customFormat="1" ht="15.75">
      <c r="A1" s="3" t="s">
        <v>0</v>
      </c>
      <c r="B1" s="4" t="s">
        <v>1</v>
      </c>
    </row>
    <row r="2" spans="1:2">
      <c r="A2" s="5" t="s">
        <v>2</v>
      </c>
      <c r="B2" s="6">
        <v>220</v>
      </c>
    </row>
    <row r="3" spans="1:2">
      <c r="A3" s="7" t="s">
        <v>3</v>
      </c>
      <c r="B3" s="6">
        <v>40</v>
      </c>
    </row>
    <row r="4" spans="1:2">
      <c r="A4" s="7" t="s">
        <v>4</v>
      </c>
      <c r="B4" s="6">
        <v>190</v>
      </c>
    </row>
    <row r="5" spans="1:2">
      <c r="A5" s="7" t="s">
        <v>5</v>
      </c>
      <c r="B5" s="6">
        <v>100</v>
      </c>
    </row>
    <row r="6" spans="1:2">
      <c r="A6" s="7" t="s">
        <v>6</v>
      </c>
      <c r="B6" s="6">
        <v>840</v>
      </c>
    </row>
    <row r="7" spans="1:2">
      <c r="A7" s="7" t="s">
        <v>7</v>
      </c>
      <c r="B7" s="6">
        <v>205</v>
      </c>
    </row>
    <row r="8" spans="1:2">
      <c r="A8" s="8" t="s">
        <v>8</v>
      </c>
      <c r="B8" s="6">
        <v>60</v>
      </c>
    </row>
    <row r="9" spans="1:2">
      <c r="A9" s="7" t="s">
        <v>9</v>
      </c>
      <c r="B9" s="6">
        <v>130</v>
      </c>
    </row>
    <row r="10" spans="1:2">
      <c r="A10" s="7" t="s">
        <v>10</v>
      </c>
      <c r="B10" s="6">
        <v>200</v>
      </c>
    </row>
    <row r="11" spans="1:2">
      <c r="A11" s="7" t="s">
        <v>11</v>
      </c>
      <c r="B11" s="6">
        <v>300</v>
      </c>
    </row>
    <row r="12" spans="1:2">
      <c r="A12" s="7" t="s">
        <v>12</v>
      </c>
      <c r="B12" s="6">
        <v>92</v>
      </c>
    </row>
    <row r="13" spans="1:2">
      <c r="A13" s="7" t="s">
        <v>13</v>
      </c>
      <c r="B13" s="6">
        <v>140</v>
      </c>
    </row>
    <row r="14" spans="1:2">
      <c r="A14" s="7" t="s">
        <v>14</v>
      </c>
      <c r="B14" s="6">
        <v>78</v>
      </c>
    </row>
    <row r="15" spans="1:2">
      <c r="A15" s="7" t="s">
        <v>15</v>
      </c>
      <c r="B15" s="6">
        <v>70</v>
      </c>
    </row>
    <row r="16" spans="1:2">
      <c r="A16" s="7" t="s">
        <v>16</v>
      </c>
      <c r="B16" s="6">
        <v>31</v>
      </c>
    </row>
    <row r="17" spans="1:2">
      <c r="A17" s="7" t="s">
        <v>17</v>
      </c>
      <c r="B17" s="6">
        <v>230</v>
      </c>
    </row>
    <row r="18" spans="1:2">
      <c r="A18" s="7" t="s">
        <v>18</v>
      </c>
      <c r="B18" s="6">
        <v>115</v>
      </c>
    </row>
    <row r="19" spans="1:2">
      <c r="A19" s="7" t="s">
        <v>19</v>
      </c>
      <c r="B19" s="6">
        <v>94</v>
      </c>
    </row>
    <row r="20" spans="1:2">
      <c r="A20" s="7" t="s">
        <v>20</v>
      </c>
      <c r="B20" s="6">
        <v>85</v>
      </c>
    </row>
    <row r="21" spans="1:2">
      <c r="A21" s="7" t="s">
        <v>21</v>
      </c>
      <c r="B21" s="6">
        <v>3200</v>
      </c>
    </row>
    <row r="22" spans="1:2">
      <c r="A22" s="7" t="s">
        <v>22</v>
      </c>
      <c r="B22" s="6">
        <f>5640/150</f>
        <v>37.6</v>
      </c>
    </row>
    <row r="23" spans="1:2">
      <c r="A23" s="7" t="s">
        <v>23</v>
      </c>
      <c r="B23" s="6">
        <v>76</v>
      </c>
    </row>
    <row r="24" spans="1:2">
      <c r="A24" s="7" t="s">
        <v>24</v>
      </c>
      <c r="B24" s="6">
        <v>85</v>
      </c>
    </row>
    <row r="25" spans="1:2">
      <c r="A25" s="7" t="s">
        <v>25</v>
      </c>
      <c r="B25" s="6">
        <v>41</v>
      </c>
    </row>
    <row r="26" spans="1:2">
      <c r="A26" s="7" t="s">
        <v>26</v>
      </c>
      <c r="B26" s="6">
        <v>275</v>
      </c>
    </row>
    <row r="27" spans="1:2">
      <c r="A27" s="7" t="s">
        <v>27</v>
      </c>
      <c r="B27" s="6">
        <v>69</v>
      </c>
    </row>
    <row r="28" spans="1:2">
      <c r="A28" s="7" t="s">
        <v>28</v>
      </c>
      <c r="B28" s="6">
        <v>275</v>
      </c>
    </row>
    <row r="29" spans="1:2">
      <c r="A29" s="7" t="s">
        <v>29</v>
      </c>
      <c r="B29" s="6">
        <v>450</v>
      </c>
    </row>
    <row r="30" spans="1:2">
      <c r="A30" s="7" t="s">
        <v>30</v>
      </c>
      <c r="B30" s="6">
        <v>130</v>
      </c>
    </row>
    <row r="31" spans="1:2">
      <c r="A31" s="7" t="s">
        <v>31</v>
      </c>
      <c r="B31" s="6">
        <f>6300/15</f>
        <v>420</v>
      </c>
    </row>
    <row r="32" spans="1:2">
      <c r="A32" s="7" t="s">
        <v>32</v>
      </c>
      <c r="B32" s="6">
        <v>260</v>
      </c>
    </row>
    <row r="33" spans="1:2">
      <c r="A33" s="7" t="s">
        <v>33</v>
      </c>
      <c r="B33" s="6">
        <v>82</v>
      </c>
    </row>
    <row r="34" spans="1:2">
      <c r="A34" s="7" t="s">
        <v>34</v>
      </c>
      <c r="B34" s="6">
        <v>200</v>
      </c>
    </row>
    <row r="35" spans="1:2">
      <c r="A35" s="7" t="s">
        <v>35</v>
      </c>
      <c r="B35" s="6">
        <v>110</v>
      </c>
    </row>
    <row r="36" spans="1:2">
      <c r="A36" s="7" t="s">
        <v>36</v>
      </c>
      <c r="B36" s="6">
        <v>120</v>
      </c>
    </row>
    <row r="37" spans="1:2">
      <c r="A37" s="7" t="s">
        <v>37</v>
      </c>
      <c r="B37" s="6">
        <v>50</v>
      </c>
    </row>
    <row r="38" spans="1:2">
      <c r="A38" s="7" t="s">
        <v>38</v>
      </c>
      <c r="B38" s="6">
        <v>296</v>
      </c>
    </row>
    <row r="39" spans="1:2">
      <c r="A39" s="7" t="s">
        <v>39</v>
      </c>
      <c r="B39" s="6">
        <v>50</v>
      </c>
    </row>
    <row r="40" spans="1:2">
      <c r="A40" s="7" t="s">
        <v>40</v>
      </c>
      <c r="B40" s="6">
        <v>115</v>
      </c>
    </row>
    <row r="41" spans="1:2">
      <c r="A41" s="7" t="s">
        <v>41</v>
      </c>
      <c r="B41" s="6">
        <v>155</v>
      </c>
    </row>
    <row r="42" spans="1:2">
      <c r="A42" s="7" t="s">
        <v>42</v>
      </c>
      <c r="B42" s="6">
        <v>44</v>
      </c>
    </row>
    <row r="43" spans="1:2" hidden="1">
      <c r="A43" s="7" t="s">
        <v>43</v>
      </c>
      <c r="B43" s="6">
        <v>0</v>
      </c>
    </row>
    <row r="44" spans="1:2">
      <c r="A44" s="7" t="s">
        <v>44</v>
      </c>
      <c r="B44" s="6">
        <v>340</v>
      </c>
    </row>
    <row r="45" spans="1:2">
      <c r="A45" s="7" t="s">
        <v>45</v>
      </c>
      <c r="B45" s="6">
        <v>106</v>
      </c>
    </row>
    <row r="46" spans="1:2">
      <c r="A46" s="7" t="s">
        <v>46</v>
      </c>
      <c r="B46" s="6">
        <v>38.46</v>
      </c>
    </row>
    <row r="47" spans="1:2">
      <c r="A47" s="7" t="s">
        <v>47</v>
      </c>
      <c r="B47" s="6">
        <v>46</v>
      </c>
    </row>
    <row r="48" spans="1:2">
      <c r="A48" s="7" t="s">
        <v>48</v>
      </c>
      <c r="B48" s="6">
        <v>1600</v>
      </c>
    </row>
    <row r="49" spans="1:2">
      <c r="A49" s="7" t="s">
        <v>49</v>
      </c>
      <c r="B49" s="6">
        <f>5220/12</f>
        <v>435</v>
      </c>
    </row>
    <row r="50" spans="1:2">
      <c r="A50" s="7" t="s">
        <v>50</v>
      </c>
      <c r="B50" s="6">
        <v>130</v>
      </c>
    </row>
    <row r="51" spans="1:2">
      <c r="A51" s="7" t="s">
        <v>51</v>
      </c>
      <c r="B51" s="6">
        <v>105</v>
      </c>
    </row>
    <row r="52" spans="1:2">
      <c r="A52" s="7" t="s">
        <v>52</v>
      </c>
      <c r="B52" s="6">
        <v>109</v>
      </c>
    </row>
    <row r="53" spans="1:2">
      <c r="A53" s="7" t="s">
        <v>53</v>
      </c>
      <c r="B53" s="6">
        <f>560/4</f>
        <v>140</v>
      </c>
    </row>
    <row r="54" spans="1:2">
      <c r="A54" s="7" t="s">
        <v>54</v>
      </c>
      <c r="B54" s="6">
        <v>165</v>
      </c>
    </row>
    <row r="55" spans="1:2">
      <c r="A55" s="7" t="s">
        <v>55</v>
      </c>
      <c r="B55" s="6">
        <f>3120/12</f>
        <v>260</v>
      </c>
    </row>
    <row r="56" spans="1:2">
      <c r="A56" s="7" t="s">
        <v>56</v>
      </c>
      <c r="B56" s="6">
        <v>33.5</v>
      </c>
    </row>
    <row r="57" spans="1:2">
      <c r="A57" s="7" t="s">
        <v>57</v>
      </c>
      <c r="B57" s="6">
        <v>44</v>
      </c>
    </row>
    <row r="58" spans="1:2">
      <c r="A58" s="7" t="s">
        <v>58</v>
      </c>
      <c r="B58" s="6">
        <v>60</v>
      </c>
    </row>
    <row r="59" spans="1:2">
      <c r="A59" s="7" t="s">
        <v>59</v>
      </c>
      <c r="B59" s="6">
        <v>63</v>
      </c>
    </row>
    <row r="60" spans="1:2">
      <c r="A60" s="7" t="s">
        <v>60</v>
      </c>
      <c r="B60" s="6">
        <f>1250/0.4</f>
        <v>3125</v>
      </c>
    </row>
    <row r="61" spans="1:2">
      <c r="A61" s="7" t="s">
        <v>61</v>
      </c>
      <c r="B61" s="6">
        <v>240</v>
      </c>
    </row>
    <row r="62" spans="1:2">
      <c r="A62" s="9" t="s">
        <v>62</v>
      </c>
      <c r="B62" s="6">
        <v>100</v>
      </c>
    </row>
    <row r="63" spans="1:2">
      <c r="A63" s="7" t="s">
        <v>63</v>
      </c>
      <c r="B63" s="6">
        <v>740</v>
      </c>
    </row>
    <row r="64" spans="1:2">
      <c r="A64" s="7" t="s">
        <v>64</v>
      </c>
      <c r="B64" s="6">
        <v>610</v>
      </c>
    </row>
    <row r="65" spans="1:2">
      <c r="A65" s="9" t="s">
        <v>65</v>
      </c>
      <c r="B65" s="6">
        <f>59472/96</f>
        <v>619.5</v>
      </c>
    </row>
    <row r="66" spans="1:2">
      <c r="A66" s="7" t="s">
        <v>66</v>
      </c>
      <c r="B66" s="6">
        <v>380</v>
      </c>
    </row>
    <row r="67" spans="1:2">
      <c r="A67" s="7" t="s">
        <v>67</v>
      </c>
      <c r="B67" s="6">
        <v>400</v>
      </c>
    </row>
    <row r="68" spans="1:2">
      <c r="A68" s="7" t="s">
        <v>68</v>
      </c>
      <c r="B68" s="6">
        <f>250</f>
        <v>250</v>
      </c>
    </row>
    <row r="69" spans="1:2">
      <c r="A69" s="7" t="s">
        <v>69</v>
      </c>
      <c r="B69" s="6">
        <v>80</v>
      </c>
    </row>
    <row r="70" spans="1:2">
      <c r="A70" s="7" t="s">
        <v>70</v>
      </c>
      <c r="B70" s="6">
        <v>470</v>
      </c>
    </row>
    <row r="71" spans="1:2">
      <c r="A71" s="7" t="s">
        <v>71</v>
      </c>
      <c r="B71" s="6">
        <v>42</v>
      </c>
    </row>
    <row r="72" spans="1:2">
      <c r="A72" s="7" t="s">
        <v>72</v>
      </c>
      <c r="B72" s="6">
        <f>1800/4</f>
        <v>450</v>
      </c>
    </row>
    <row r="73" spans="1:2">
      <c r="A73" s="7" t="s">
        <v>73</v>
      </c>
      <c r="B73" s="6">
        <f>960/12</f>
        <v>80</v>
      </c>
    </row>
    <row r="74" spans="1:2">
      <c r="A74" s="7" t="s">
        <v>74</v>
      </c>
      <c r="B74" s="6">
        <v>66</v>
      </c>
    </row>
    <row r="75" spans="1:2">
      <c r="A75" s="7" t="s">
        <v>75</v>
      </c>
      <c r="B75" s="6">
        <v>380</v>
      </c>
    </row>
    <row r="76" spans="1:2">
      <c r="A76" s="7" t="s">
        <v>76</v>
      </c>
      <c r="B76" s="6">
        <v>40.6</v>
      </c>
    </row>
    <row r="77" spans="1:2">
      <c r="A77" s="7" t="s">
        <v>77</v>
      </c>
      <c r="B77" s="6">
        <v>1900</v>
      </c>
    </row>
    <row r="78" spans="1:2">
      <c r="A78" s="7" t="s">
        <v>78</v>
      </c>
      <c r="B78" s="6">
        <f>450/2</f>
        <v>225</v>
      </c>
    </row>
    <row r="79" spans="1:2">
      <c r="A79" s="7" t="s">
        <v>79</v>
      </c>
      <c r="B79" s="6">
        <v>340</v>
      </c>
    </row>
    <row r="80" spans="1:2">
      <c r="A80" s="7" t="s">
        <v>80</v>
      </c>
      <c r="B80" s="6">
        <v>600</v>
      </c>
    </row>
    <row r="81" spans="1:2">
      <c r="A81" s="7" t="s">
        <v>81</v>
      </c>
      <c r="B81" s="6">
        <v>83</v>
      </c>
    </row>
    <row r="82" spans="1:2">
      <c r="A82" s="7" t="s">
        <v>82</v>
      </c>
      <c r="B82" s="6">
        <v>92</v>
      </c>
    </row>
    <row r="83" spans="1:2">
      <c r="A83" s="7" t="s">
        <v>83</v>
      </c>
      <c r="B83" s="6">
        <v>590</v>
      </c>
    </row>
    <row r="84" spans="1:2">
      <c r="A84" s="7" t="s">
        <v>84</v>
      </c>
      <c r="B84" s="6">
        <v>75</v>
      </c>
    </row>
    <row r="85" spans="1:2">
      <c r="A85" s="7" t="s">
        <v>85</v>
      </c>
      <c r="B85" s="6">
        <v>10</v>
      </c>
    </row>
    <row r="86" spans="1:2">
      <c r="A86" s="7" t="s">
        <v>86</v>
      </c>
      <c r="B86" s="6">
        <v>145</v>
      </c>
    </row>
    <row r="87" spans="1:2">
      <c r="A87" s="7" t="s">
        <v>87</v>
      </c>
      <c r="B87" s="6">
        <v>98</v>
      </c>
    </row>
    <row r="88" spans="1:2">
      <c r="A88" s="7" t="s">
        <v>88</v>
      </c>
      <c r="B88" s="6">
        <v>60</v>
      </c>
    </row>
    <row r="89" spans="1:2">
      <c r="A89" s="7" t="s">
        <v>89</v>
      </c>
      <c r="B89" s="10">
        <v>155</v>
      </c>
    </row>
    <row r="90" spans="1:2">
      <c r="A90" s="7" t="s">
        <v>90</v>
      </c>
      <c r="B90" s="6">
        <v>29.7</v>
      </c>
    </row>
    <row r="91" spans="1:2">
      <c r="A91" s="7" t="s">
        <v>91</v>
      </c>
      <c r="B91" s="6">
        <v>130.667</v>
      </c>
    </row>
    <row r="92" spans="1:2">
      <c r="A92" s="7" t="s">
        <v>92</v>
      </c>
      <c r="B92" s="6">
        <v>220</v>
      </c>
    </row>
    <row r="93" spans="1:2">
      <c r="A93" s="7" t="s">
        <v>93</v>
      </c>
      <c r="B93" s="6">
        <f>5100/6</f>
        <v>850</v>
      </c>
    </row>
    <row r="94" spans="1:2">
      <c r="A94" s="7" t="s">
        <v>94</v>
      </c>
      <c r="B94" s="6">
        <v>1800</v>
      </c>
    </row>
    <row r="95" spans="1:2">
      <c r="A95" s="7" t="s">
        <v>95</v>
      </c>
      <c r="B95" s="6">
        <v>47</v>
      </c>
    </row>
    <row r="96" spans="1:2">
      <c r="A96" s="7" t="s">
        <v>96</v>
      </c>
      <c r="B96" s="6">
        <v>89</v>
      </c>
    </row>
    <row r="97" spans="1:2">
      <c r="A97" s="7" t="s">
        <v>97</v>
      </c>
      <c r="B97" s="6">
        <v>140</v>
      </c>
    </row>
    <row r="98" spans="1:2">
      <c r="A98" s="7" t="s">
        <v>98</v>
      </c>
      <c r="B98" s="6">
        <v>90</v>
      </c>
    </row>
    <row r="99" spans="1:2">
      <c r="A99" s="7" t="s">
        <v>99</v>
      </c>
      <c r="B99" s="6">
        <v>140</v>
      </c>
    </row>
    <row r="100" spans="1:2">
      <c r="A100" s="7" t="s">
        <v>100</v>
      </c>
      <c r="B100" s="6">
        <v>45</v>
      </c>
    </row>
    <row r="101" spans="1:2">
      <c r="A101" s="7" t="s">
        <v>101</v>
      </c>
      <c r="B101" s="6">
        <v>119</v>
      </c>
    </row>
    <row r="102" spans="1:2">
      <c r="A102" s="7" t="s">
        <v>102</v>
      </c>
      <c r="B102" s="6">
        <v>45</v>
      </c>
    </row>
    <row r="103" spans="1:2">
      <c r="A103" s="7" t="s">
        <v>103</v>
      </c>
      <c r="B103" s="6">
        <v>16.8</v>
      </c>
    </row>
    <row r="104" spans="1:2">
      <c r="A104" s="7" t="s">
        <v>104</v>
      </c>
      <c r="B104" s="6">
        <v>30</v>
      </c>
    </row>
    <row r="105" spans="1:2">
      <c r="A105" s="7" t="s">
        <v>105</v>
      </c>
      <c r="B105" s="6">
        <v>120</v>
      </c>
    </row>
    <row r="106" spans="1:2">
      <c r="A106" s="7" t="s">
        <v>106</v>
      </c>
      <c r="B106" s="6">
        <v>63</v>
      </c>
    </row>
    <row r="107" spans="1:2">
      <c r="A107" s="7" t="s">
        <v>107</v>
      </c>
      <c r="B107" s="6">
        <v>400</v>
      </c>
    </row>
    <row r="108" spans="1:2">
      <c r="A108" s="7" t="s">
        <v>108</v>
      </c>
      <c r="B108" s="6">
        <v>210</v>
      </c>
    </row>
    <row r="109" spans="1:2">
      <c r="A109" s="7" t="s">
        <v>109</v>
      </c>
      <c r="B109" s="6">
        <v>25.6</v>
      </c>
    </row>
    <row r="110" spans="1:2">
      <c r="A110" s="7" t="s">
        <v>110</v>
      </c>
      <c r="B110" s="6">
        <v>190</v>
      </c>
    </row>
    <row r="111" spans="1:2">
      <c r="A111" s="7" t="s">
        <v>111</v>
      </c>
      <c r="B111" s="6">
        <v>69</v>
      </c>
    </row>
    <row r="112" spans="1:2">
      <c r="A112" s="7" t="s">
        <v>112</v>
      </c>
      <c r="B112" s="6">
        <v>130</v>
      </c>
    </row>
    <row r="113" spans="1:2">
      <c r="A113" s="7" t="s">
        <v>113</v>
      </c>
      <c r="B113" s="6">
        <v>830</v>
      </c>
    </row>
    <row r="114" spans="1:2">
      <c r="A114" s="7" t="s">
        <v>114</v>
      </c>
      <c r="B114" s="6">
        <v>180</v>
      </c>
    </row>
    <row r="115" spans="1:2">
      <c r="A115" s="7" t="s">
        <v>115</v>
      </c>
      <c r="B115" s="6">
        <v>60</v>
      </c>
    </row>
    <row r="116" spans="1:2">
      <c r="A116" s="7" t="s">
        <v>116</v>
      </c>
      <c r="B116" s="6">
        <v>103</v>
      </c>
    </row>
    <row r="117" spans="1:2">
      <c r="A117" s="7" t="s">
        <v>117</v>
      </c>
      <c r="B117" s="6">
        <v>320</v>
      </c>
    </row>
    <row r="118" spans="1:2">
      <c r="A118" s="7" t="s">
        <v>118</v>
      </c>
      <c r="B118" s="6">
        <v>875</v>
      </c>
    </row>
    <row r="119" spans="1:2">
      <c r="A119" s="7" t="s">
        <v>119</v>
      </c>
      <c r="B119" s="6">
        <f>175/0.2</f>
        <v>875</v>
      </c>
    </row>
    <row r="120" spans="1:2">
      <c r="A120" s="7" t="s">
        <v>120</v>
      </c>
      <c r="B120" s="6">
        <v>43</v>
      </c>
    </row>
    <row r="121" spans="1:2">
      <c r="A121" s="7" t="s">
        <v>121</v>
      </c>
      <c r="B121" s="6">
        <v>40.6</v>
      </c>
    </row>
    <row r="122" spans="1:2">
      <c r="A122" s="7" t="s">
        <v>122</v>
      </c>
      <c r="B122" s="6">
        <v>149</v>
      </c>
    </row>
    <row r="123" spans="1:2">
      <c r="A123" s="7" t="s">
        <v>123</v>
      </c>
      <c r="B123" s="6">
        <v>100</v>
      </c>
    </row>
    <row r="124" spans="1:2">
      <c r="A124" s="7" t="s">
        <v>124</v>
      </c>
      <c r="B124" s="6">
        <v>210</v>
      </c>
    </row>
    <row r="125" spans="1:2">
      <c r="A125" s="7" t="s">
        <v>125</v>
      </c>
      <c r="B125" s="6">
        <v>110</v>
      </c>
    </row>
    <row r="126" spans="1:2">
      <c r="A126" s="7" t="s">
        <v>126</v>
      </c>
      <c r="B126" s="6">
        <v>260</v>
      </c>
    </row>
    <row r="127" spans="1:2">
      <c r="A127" s="7" t="s">
        <v>127</v>
      </c>
      <c r="B127" s="6">
        <f>8180/20</f>
        <v>409</v>
      </c>
    </row>
    <row r="128" spans="1:2">
      <c r="A128" s="8" t="s">
        <v>128</v>
      </c>
      <c r="B128" s="6">
        <v>300</v>
      </c>
    </row>
    <row r="129" spans="1:2">
      <c r="A129" s="8" t="s">
        <v>129</v>
      </c>
      <c r="B129" s="6">
        <v>147</v>
      </c>
    </row>
    <row r="130" spans="1:2">
      <c r="A130" s="7" t="s">
        <v>130</v>
      </c>
      <c r="B130" s="6">
        <v>60</v>
      </c>
    </row>
    <row r="131" spans="1:2">
      <c r="A131" s="7" t="s">
        <v>131</v>
      </c>
      <c r="B131" s="6">
        <f>236/2</f>
        <v>118</v>
      </c>
    </row>
    <row r="132" spans="1:2">
      <c r="A132" s="7" t="s">
        <v>132</v>
      </c>
      <c r="B132" s="6">
        <f>220/5</f>
        <v>44</v>
      </c>
    </row>
    <row r="133" spans="1:2">
      <c r="A133" s="7" t="s">
        <v>133</v>
      </c>
      <c r="B133" s="6">
        <v>100</v>
      </c>
    </row>
    <row r="134" spans="1:2">
      <c r="A134" s="7" t="s">
        <v>134</v>
      </c>
      <c r="B134" s="6">
        <v>275</v>
      </c>
    </row>
    <row r="135" spans="1:2">
      <c r="A135" s="7" t="s">
        <v>135</v>
      </c>
      <c r="B135" s="6">
        <v>20</v>
      </c>
    </row>
    <row r="136" spans="1:2">
      <c r="A136" s="7" t="s">
        <v>136</v>
      </c>
      <c r="B136" s="6">
        <v>230</v>
      </c>
    </row>
    <row r="137" spans="1:2">
      <c r="A137" s="11" t="s">
        <v>137</v>
      </c>
      <c r="B137" s="12">
        <v>30</v>
      </c>
    </row>
    <row r="138" spans="1:2">
      <c r="A138" s="13" t="s">
        <v>138</v>
      </c>
      <c r="B138" s="14">
        <v>140</v>
      </c>
    </row>
    <row r="139" spans="1:2">
      <c r="A139" s="13" t="s">
        <v>139</v>
      </c>
      <c r="B139" s="14">
        <v>69</v>
      </c>
    </row>
    <row r="140" spans="1:2">
      <c r="A140" s="13" t="s">
        <v>140</v>
      </c>
      <c r="B140" s="14">
        <v>55</v>
      </c>
    </row>
    <row r="141" spans="1:2">
      <c r="A141" s="13" t="s">
        <v>141</v>
      </c>
      <c r="B141" s="14">
        <v>84</v>
      </c>
    </row>
    <row r="142" spans="1:2">
      <c r="A142" s="13" t="s">
        <v>142</v>
      </c>
      <c r="B142" s="14">
        <v>39</v>
      </c>
    </row>
    <row r="143" spans="1:2">
      <c r="A143" s="13" t="s">
        <v>143</v>
      </c>
      <c r="B143" s="14">
        <v>16</v>
      </c>
    </row>
    <row r="144" spans="1:2">
      <c r="A144" s="13" t="s">
        <v>144</v>
      </c>
      <c r="B144" s="14">
        <v>70</v>
      </c>
    </row>
    <row r="145" spans="1:2">
      <c r="A145" s="13" t="s">
        <v>145</v>
      </c>
      <c r="B145" s="14">
        <v>40</v>
      </c>
    </row>
    <row r="146" spans="1:2">
      <c r="A146" s="13" t="s">
        <v>146</v>
      </c>
      <c r="B146" s="14">
        <v>240</v>
      </c>
    </row>
    <row r="147" spans="1:2">
      <c r="A147" s="13" t="s">
        <v>147</v>
      </c>
      <c r="B147" s="14">
        <v>25</v>
      </c>
    </row>
    <row r="148" spans="1:2">
      <c r="A148" s="13" t="s">
        <v>148</v>
      </c>
      <c r="B148" s="14">
        <v>150</v>
      </c>
    </row>
    <row r="149" spans="1:2">
      <c r="A149" s="13" t="s">
        <v>149</v>
      </c>
      <c r="B149" s="14">
        <v>189</v>
      </c>
    </row>
    <row r="150" spans="1:2">
      <c r="A150" s="13" t="s">
        <v>150</v>
      </c>
      <c r="B150" s="14">
        <v>189</v>
      </c>
    </row>
    <row r="151" spans="1:2">
      <c r="A151" s="13" t="s">
        <v>151</v>
      </c>
      <c r="B151" s="14">
        <v>30</v>
      </c>
    </row>
    <row r="152" spans="1:2">
      <c r="A152" s="13" t="s">
        <v>152</v>
      </c>
      <c r="B152" s="14">
        <v>37</v>
      </c>
    </row>
    <row r="153" spans="1:2">
      <c r="A153" s="13" t="s">
        <v>153</v>
      </c>
      <c r="B153" s="14">
        <v>35</v>
      </c>
    </row>
    <row r="154" spans="1:2">
      <c r="A154" s="13" t="s">
        <v>154</v>
      </c>
      <c r="B154" s="14">
        <v>67</v>
      </c>
    </row>
    <row r="155" spans="1:2">
      <c r="A155" s="13" t="s">
        <v>155</v>
      </c>
      <c r="B155" s="14">
        <v>100</v>
      </c>
    </row>
    <row r="156" spans="1:2">
      <c r="A156" s="13" t="s">
        <v>156</v>
      </c>
      <c r="B156" s="14">
        <v>37</v>
      </c>
    </row>
    <row r="157" spans="1:2">
      <c r="A157" s="13" t="s">
        <v>157</v>
      </c>
      <c r="B157" s="14">
        <v>40</v>
      </c>
    </row>
    <row r="158" spans="1:2">
      <c r="A158" s="13" t="s">
        <v>158</v>
      </c>
      <c r="B158" s="14">
        <v>115</v>
      </c>
    </row>
    <row r="159" spans="1:2">
      <c r="A159" s="13" t="s">
        <v>159</v>
      </c>
      <c r="B159" s="14">
        <v>70</v>
      </c>
    </row>
    <row r="160" spans="1:2">
      <c r="A160" s="13" t="s">
        <v>160</v>
      </c>
      <c r="B160" s="14">
        <v>80</v>
      </c>
    </row>
    <row r="161" spans="1:2">
      <c r="A161" s="13" t="s">
        <v>161</v>
      </c>
      <c r="B161" s="14">
        <v>50</v>
      </c>
    </row>
    <row r="162" spans="1:2">
      <c r="A162" s="13" t="s">
        <v>162</v>
      </c>
      <c r="B162" s="14">
        <v>25</v>
      </c>
    </row>
    <row r="163" spans="1:2">
      <c r="A163" s="13" t="s">
        <v>163</v>
      </c>
      <c r="B163" s="14">
        <v>100</v>
      </c>
    </row>
    <row r="164" spans="1:2">
      <c r="A164" s="13" t="s">
        <v>164</v>
      </c>
      <c r="B164" s="14">
        <v>39</v>
      </c>
    </row>
    <row r="165" spans="1:2">
      <c r="A165" s="13" t="s">
        <v>165</v>
      </c>
      <c r="B165" s="14">
        <v>60</v>
      </c>
    </row>
    <row r="166" spans="1:2">
      <c r="A166" s="13" t="s">
        <v>166</v>
      </c>
      <c r="B166" s="14">
        <v>36</v>
      </c>
    </row>
    <row r="167" spans="1:2">
      <c r="A167" s="13" t="s">
        <v>167</v>
      </c>
      <c r="B167" s="14">
        <v>50</v>
      </c>
    </row>
    <row r="168" spans="1:2">
      <c r="A168" s="13" t="s">
        <v>168</v>
      </c>
      <c r="B168" s="14">
        <v>40</v>
      </c>
    </row>
    <row r="169" spans="1:2">
      <c r="A169" s="13" t="s">
        <v>169</v>
      </c>
      <c r="B169" s="14">
        <v>22</v>
      </c>
    </row>
    <row r="170" spans="1:2">
      <c r="A170" s="15" t="s">
        <v>170</v>
      </c>
      <c r="B170" s="14">
        <v>60</v>
      </c>
    </row>
    <row r="171" spans="1:2">
      <c r="A171" s="15" t="s">
        <v>171</v>
      </c>
      <c r="B171" s="14">
        <v>168</v>
      </c>
    </row>
    <row r="172" spans="1:2">
      <c r="A172" s="15" t="s">
        <v>172</v>
      </c>
      <c r="B172" s="14">
        <v>24</v>
      </c>
    </row>
    <row r="173" spans="1:2">
      <c r="A173" s="15" t="s">
        <v>173</v>
      </c>
      <c r="B173" s="14">
        <v>10</v>
      </c>
    </row>
    <row r="174" spans="1:2">
      <c r="A174" s="15" t="s">
        <v>174</v>
      </c>
      <c r="B174" s="14">
        <v>42</v>
      </c>
    </row>
    <row r="175" spans="1:2">
      <c r="A175" s="13" t="s">
        <v>175</v>
      </c>
      <c r="B175" s="14">
        <v>60</v>
      </c>
    </row>
    <row r="176" spans="1:2">
      <c r="A176" s="13" t="s">
        <v>176</v>
      </c>
      <c r="B176" s="14">
        <v>60</v>
      </c>
    </row>
    <row r="177" spans="1:2">
      <c r="A177" s="15" t="s">
        <v>177</v>
      </c>
      <c r="B177" s="14">
        <v>4</v>
      </c>
    </row>
    <row r="178" spans="1:2">
      <c r="A178" s="13" t="s">
        <v>178</v>
      </c>
      <c r="B178" s="14">
        <v>40</v>
      </c>
    </row>
    <row r="179" spans="1:2">
      <c r="A179" s="13" t="s">
        <v>179</v>
      </c>
      <c r="B179" s="14">
        <v>32</v>
      </c>
    </row>
    <row r="180" spans="1:2">
      <c r="A180" s="13" t="s">
        <v>180</v>
      </c>
      <c r="B180" s="14">
        <v>22.4</v>
      </c>
    </row>
    <row r="181" spans="1:2">
      <c r="A181" s="13" t="s">
        <v>181</v>
      </c>
      <c r="B181" s="14">
        <v>42</v>
      </c>
    </row>
    <row r="182" spans="1:2">
      <c r="A182" s="16" t="s">
        <v>182</v>
      </c>
      <c r="B182" s="17">
        <v>96</v>
      </c>
    </row>
    <row r="183" spans="1:2">
      <c r="A183" s="16" t="s">
        <v>183</v>
      </c>
      <c r="B183" s="17">
        <v>58</v>
      </c>
    </row>
    <row r="184" spans="1:2">
      <c r="A184" s="16" t="s">
        <v>184</v>
      </c>
      <c r="B184" s="17">
        <v>47</v>
      </c>
    </row>
    <row r="185" spans="1:2">
      <c r="A185" s="16" t="s">
        <v>185</v>
      </c>
      <c r="B185" s="17">
        <v>25</v>
      </c>
    </row>
    <row r="186" spans="1:2">
      <c r="A186" s="16" t="s">
        <v>186</v>
      </c>
      <c r="B186" s="17">
        <v>140</v>
      </c>
    </row>
    <row r="187" spans="1:2">
      <c r="A187" s="16" t="s">
        <v>187</v>
      </c>
      <c r="B187" s="17">
        <v>65</v>
      </c>
    </row>
    <row r="188" spans="1:2">
      <c r="A188" s="16" t="s">
        <v>188</v>
      </c>
      <c r="B188" s="17">
        <v>160</v>
      </c>
    </row>
    <row r="189" spans="1:2">
      <c r="A189" s="16" t="s">
        <v>189</v>
      </c>
      <c r="B189" s="17">
        <v>30</v>
      </c>
    </row>
    <row r="190" spans="1:2">
      <c r="A190" s="13" t="s">
        <v>190</v>
      </c>
      <c r="B190" s="14">
        <v>126</v>
      </c>
    </row>
    <row r="191" spans="1:2">
      <c r="A191" s="13" t="s">
        <v>191</v>
      </c>
      <c r="B191" s="14">
        <v>216</v>
      </c>
    </row>
    <row r="192" spans="1:2">
      <c r="A192" s="13" t="s">
        <v>192</v>
      </c>
      <c r="B192" s="14">
        <v>195</v>
      </c>
    </row>
    <row r="193" spans="1:2">
      <c r="A193" s="13" t="s">
        <v>193</v>
      </c>
      <c r="B193" s="14">
        <f>10320/40</f>
        <v>258</v>
      </c>
    </row>
    <row r="194" spans="1:2">
      <c r="A194" s="13" t="s">
        <v>194</v>
      </c>
      <c r="B194" s="14">
        <v>386</v>
      </c>
    </row>
    <row r="195" spans="1:2">
      <c r="A195" s="13" t="s">
        <v>195</v>
      </c>
      <c r="B195" s="14">
        <v>347</v>
      </c>
    </row>
    <row r="196" spans="1:2">
      <c r="A196" s="13" t="s">
        <v>196</v>
      </c>
      <c r="B196" s="14">
        <v>77</v>
      </c>
    </row>
    <row r="197" spans="1:2">
      <c r="A197" s="13" t="s">
        <v>197</v>
      </c>
      <c r="B197" s="14">
        <v>72</v>
      </c>
    </row>
    <row r="198" spans="1:2">
      <c r="A198" s="13" t="s">
        <v>198</v>
      </c>
      <c r="B198" s="14">
        <f>122400/240</f>
        <v>510</v>
      </c>
    </row>
    <row r="199" spans="1:2">
      <c r="A199" s="18" t="s">
        <v>199</v>
      </c>
      <c r="B199" s="14">
        <v>300</v>
      </c>
    </row>
    <row r="200" spans="1:2">
      <c r="A200" s="13" t="s">
        <v>200</v>
      </c>
      <c r="B200" s="14">
        <v>140</v>
      </c>
    </row>
    <row r="201" spans="1:2">
      <c r="A201" s="13" t="s">
        <v>201</v>
      </c>
      <c r="B201" s="14">
        <v>380</v>
      </c>
    </row>
    <row r="202" spans="1:2">
      <c r="A202" s="13" t="s">
        <v>202</v>
      </c>
      <c r="B202" s="14">
        <v>54</v>
      </c>
    </row>
    <row r="203" spans="1:2">
      <c r="A203" s="13" t="s">
        <v>203</v>
      </c>
      <c r="B203" s="14">
        <v>250</v>
      </c>
    </row>
    <row r="204" spans="1:2">
      <c r="A204" s="13" t="s">
        <v>204</v>
      </c>
      <c r="B204" s="19">
        <v>324</v>
      </c>
    </row>
    <row r="205" spans="1:2">
      <c r="A205" s="15" t="s">
        <v>205</v>
      </c>
      <c r="B205" s="20">
        <v>80</v>
      </c>
    </row>
    <row r="206" spans="1:2">
      <c r="A206" s="15" t="s">
        <v>206</v>
      </c>
      <c r="B206" s="20">
        <v>40</v>
      </c>
    </row>
    <row r="207" spans="1:2">
      <c r="A207" s="13" t="s">
        <v>207</v>
      </c>
      <c r="B207" s="20">
        <v>106.2</v>
      </c>
    </row>
    <row r="208" spans="1:2">
      <c r="A208" s="15" t="s">
        <v>208</v>
      </c>
      <c r="B208" s="20">
        <v>106.2</v>
      </c>
    </row>
    <row r="209" spans="1:2">
      <c r="A209" s="13" t="s">
        <v>209</v>
      </c>
      <c r="B209" s="20">
        <v>162.25</v>
      </c>
    </row>
    <row r="210" spans="1:2">
      <c r="A210" s="13" t="s">
        <v>210</v>
      </c>
      <c r="B210" s="20">
        <f>50*2.98</f>
        <v>149</v>
      </c>
    </row>
    <row r="211" spans="1:2">
      <c r="A211" s="13" t="s">
        <v>211</v>
      </c>
      <c r="B211" s="20">
        <v>5.95</v>
      </c>
    </row>
    <row r="212" spans="1:2">
      <c r="A212" s="13" t="s">
        <v>212</v>
      </c>
      <c r="B212" s="20">
        <v>227.15</v>
      </c>
    </row>
    <row r="213" spans="1:2">
      <c r="A213" s="13" t="s">
        <v>213</v>
      </c>
      <c r="B213" s="20">
        <v>194.7</v>
      </c>
    </row>
    <row r="214" spans="1:2">
      <c r="A214" s="13" t="s">
        <v>214</v>
      </c>
      <c r="B214" s="19">
        <v>11.5</v>
      </c>
    </row>
    <row r="215" spans="1:2">
      <c r="A215" s="13" t="s">
        <v>215</v>
      </c>
      <c r="B215" s="20">
        <v>19</v>
      </c>
    </row>
    <row r="216" spans="1:2">
      <c r="A216" s="13" t="s">
        <v>216</v>
      </c>
      <c r="B216" s="20">
        <f>1280/320</f>
        <v>4</v>
      </c>
    </row>
    <row r="217" spans="1:2">
      <c r="A217" s="13" t="s">
        <v>217</v>
      </c>
      <c r="B217" s="19">
        <v>679.68</v>
      </c>
    </row>
    <row r="218" spans="1:2">
      <c r="A218" s="13" t="s">
        <v>218</v>
      </c>
      <c r="B218" s="19">
        <v>20</v>
      </c>
    </row>
    <row r="219" spans="1:2">
      <c r="A219" s="13" t="s">
        <v>219</v>
      </c>
      <c r="B219" s="19">
        <v>80</v>
      </c>
    </row>
    <row r="220" spans="1:2">
      <c r="A220" s="13" t="s">
        <v>220</v>
      </c>
      <c r="B220" s="19">
        <v>55</v>
      </c>
    </row>
    <row r="221" spans="1:2">
      <c r="A221" s="15" t="s">
        <v>221</v>
      </c>
      <c r="B221" s="20">
        <v>53.1</v>
      </c>
    </row>
    <row r="222" spans="1:2">
      <c r="A222" s="13" t="s">
        <v>222</v>
      </c>
      <c r="B222" s="21">
        <f>2887.5/25</f>
        <v>115.5</v>
      </c>
    </row>
    <row r="223" spans="1:2">
      <c r="A223" s="13" t="s">
        <v>223</v>
      </c>
      <c r="B223" s="21">
        <v>9.1</v>
      </c>
    </row>
    <row r="224" spans="1:2">
      <c r="A224" s="13" t="s">
        <v>224</v>
      </c>
      <c r="B224" s="21">
        <v>55</v>
      </c>
    </row>
    <row r="225" spans="1:2">
      <c r="A225" s="13" t="s">
        <v>225</v>
      </c>
      <c r="B225" s="21">
        <v>254</v>
      </c>
    </row>
    <row r="226" spans="1:2">
      <c r="A226" s="13" t="s">
        <v>226</v>
      </c>
      <c r="B226" s="21">
        <v>58</v>
      </c>
    </row>
    <row r="227" spans="1:2">
      <c r="A227" s="13" t="s">
        <v>227</v>
      </c>
      <c r="B227" s="21">
        <v>28.71</v>
      </c>
    </row>
    <row r="228" spans="1:2">
      <c r="A228" s="13" t="s">
        <v>228</v>
      </c>
      <c r="B228" s="21">
        <v>28.71</v>
      </c>
    </row>
    <row r="229" spans="1:2">
      <c r="A229" s="13" t="s">
        <v>229</v>
      </c>
      <c r="B229" s="21">
        <v>9</v>
      </c>
    </row>
    <row r="230" spans="1:2">
      <c r="A230" s="13" t="s">
        <v>230</v>
      </c>
      <c r="B230" s="21">
        <v>220</v>
      </c>
    </row>
    <row r="231" spans="1:2">
      <c r="A231" s="13" t="s">
        <v>231</v>
      </c>
      <c r="B231" s="21">
        <v>45.68</v>
      </c>
    </row>
    <row r="232" spans="1:2">
      <c r="A232" s="15" t="s">
        <v>232</v>
      </c>
      <c r="B232" s="21">
        <v>90</v>
      </c>
    </row>
    <row r="233" spans="1:2">
      <c r="A233" s="15" t="s">
        <v>233</v>
      </c>
      <c r="B233" s="21">
        <v>18</v>
      </c>
    </row>
    <row r="234" spans="1:2">
      <c r="A234" s="13" t="s">
        <v>234</v>
      </c>
      <c r="B234" s="21">
        <v>520</v>
      </c>
    </row>
    <row r="235" spans="1:2">
      <c r="A235" s="13" t="s">
        <v>235</v>
      </c>
      <c r="B235" s="21">
        <v>2</v>
      </c>
    </row>
    <row r="236" spans="1:2">
      <c r="A236" s="13" t="s">
        <v>236</v>
      </c>
      <c r="B236" s="21">
        <v>80</v>
      </c>
    </row>
    <row r="237" spans="1:2">
      <c r="A237" s="13" t="s">
        <v>237</v>
      </c>
      <c r="B237" s="21">
        <v>9</v>
      </c>
    </row>
    <row r="238" spans="1:2">
      <c r="A238" s="13" t="s">
        <v>238</v>
      </c>
      <c r="B238" s="21">
        <v>40</v>
      </c>
    </row>
    <row r="239" spans="1:2">
      <c r="A239" s="13" t="s">
        <v>239</v>
      </c>
      <c r="B239" s="21">
        <v>40</v>
      </c>
    </row>
    <row r="240" spans="1:2">
      <c r="A240" s="13" t="s">
        <v>240</v>
      </c>
      <c r="B240" s="21"/>
    </row>
    <row r="241" spans="1:2">
      <c r="A241" s="13" t="s">
        <v>241</v>
      </c>
      <c r="B241" s="21">
        <v>776.9</v>
      </c>
    </row>
    <row r="242" spans="1:2">
      <c r="A242" s="13" t="s">
        <v>242</v>
      </c>
      <c r="B242" s="21">
        <v>520</v>
      </c>
    </row>
    <row r="243" spans="1:2">
      <c r="A243" s="13" t="s">
        <v>243</v>
      </c>
      <c r="B243" s="21">
        <v>1172</v>
      </c>
    </row>
    <row r="244" spans="1:2">
      <c r="A244" s="13" t="s">
        <v>244</v>
      </c>
      <c r="B244" s="21">
        <v>520</v>
      </c>
    </row>
    <row r="245" spans="1:2">
      <c r="A245" s="13" t="s">
        <v>245</v>
      </c>
      <c r="B245" s="21">
        <v>84.5</v>
      </c>
    </row>
    <row r="246" spans="1:2">
      <c r="A246" s="13" t="s">
        <v>246</v>
      </c>
      <c r="B246" s="21">
        <v>38</v>
      </c>
    </row>
    <row r="247" spans="1:2">
      <c r="A247" s="13" t="s">
        <v>247</v>
      </c>
      <c r="B247" s="21">
        <v>84.83</v>
      </c>
    </row>
    <row r="248" spans="1:2">
      <c r="A248" s="13" t="s">
        <v>248</v>
      </c>
      <c r="B248" s="21">
        <v>15.93</v>
      </c>
    </row>
    <row r="249" spans="1:2">
      <c r="A249" s="13" t="s">
        <v>249</v>
      </c>
      <c r="B249" s="21">
        <v>6.5</v>
      </c>
    </row>
    <row r="250" spans="1:2">
      <c r="A250" s="13" t="s">
        <v>250</v>
      </c>
      <c r="B250" s="21">
        <v>10</v>
      </c>
    </row>
    <row r="251" spans="1:2">
      <c r="A251" s="13" t="s">
        <v>251</v>
      </c>
      <c r="B251" s="21">
        <v>37.76</v>
      </c>
    </row>
    <row r="252" spans="1:2">
      <c r="A252" s="13" t="s">
        <v>252</v>
      </c>
      <c r="B252" s="21">
        <v>70</v>
      </c>
    </row>
    <row r="253" spans="1:2">
      <c r="A253" s="13" t="s">
        <v>253</v>
      </c>
      <c r="B253" s="21">
        <v>4.9000000000000004</v>
      </c>
    </row>
    <row r="254" spans="1:2">
      <c r="A254" s="13" t="s">
        <v>254</v>
      </c>
      <c r="B254" s="21">
        <v>60</v>
      </c>
    </row>
    <row r="255" spans="1:2">
      <c r="A255" s="13" t="s">
        <v>255</v>
      </c>
      <c r="B255" s="21">
        <v>110</v>
      </c>
    </row>
    <row r="256" spans="1:2">
      <c r="A256" s="15" t="s">
        <v>256</v>
      </c>
      <c r="B256" s="21">
        <v>77</v>
      </c>
    </row>
    <row r="257" spans="1:2">
      <c r="A257" s="13" t="s">
        <v>257</v>
      </c>
      <c r="B257" s="14">
        <v>220</v>
      </c>
    </row>
    <row r="258" spans="1:2">
      <c r="A258" s="13" t="s">
        <v>258</v>
      </c>
      <c r="B258" s="14">
        <v>200</v>
      </c>
    </row>
    <row r="259" spans="1:2">
      <c r="A259" s="13" t="s">
        <v>259</v>
      </c>
      <c r="B259" s="14">
        <v>270</v>
      </c>
    </row>
    <row r="260" spans="1:2">
      <c r="A260" s="13" t="s">
        <v>260</v>
      </c>
      <c r="B260" s="14">
        <f>760/48</f>
        <v>15.833333333333334</v>
      </c>
    </row>
    <row r="261" spans="1:2">
      <c r="A261" s="13" t="s">
        <v>261</v>
      </c>
      <c r="B261" s="14">
        <v>650</v>
      </c>
    </row>
    <row r="262" spans="1:2">
      <c r="A262" s="13" t="s">
        <v>262</v>
      </c>
      <c r="B262" s="14">
        <v>105</v>
      </c>
    </row>
    <row r="263" spans="1:2">
      <c r="A263" s="13" t="s">
        <v>263</v>
      </c>
      <c r="B263" s="14">
        <v>590</v>
      </c>
    </row>
    <row r="264" spans="1:2">
      <c r="A264" s="13" t="s">
        <v>264</v>
      </c>
      <c r="B264" s="14">
        <v>535</v>
      </c>
    </row>
    <row r="265" spans="1:2">
      <c r="A265" s="13" t="s">
        <v>265</v>
      </c>
      <c r="B265" s="14">
        <v>8.5</v>
      </c>
    </row>
    <row r="266" spans="1:2">
      <c r="A266" s="13" t="s">
        <v>266</v>
      </c>
      <c r="B266" s="14">
        <v>36</v>
      </c>
    </row>
    <row r="267" spans="1:2">
      <c r="A267" s="13" t="s">
        <v>267</v>
      </c>
      <c r="B267" s="14">
        <v>168</v>
      </c>
    </row>
    <row r="268" spans="1:2">
      <c r="A268" s="13" t="s">
        <v>268</v>
      </c>
      <c r="B268" s="14">
        <v>82.22</v>
      </c>
    </row>
    <row r="269" spans="1:2">
      <c r="A269" s="13" t="s">
        <v>269</v>
      </c>
      <c r="B269" s="14">
        <v>60</v>
      </c>
    </row>
    <row r="270" spans="1:2">
      <c r="A270" s="18" t="s">
        <v>270</v>
      </c>
      <c r="B270" s="14">
        <v>40</v>
      </c>
    </row>
    <row r="271" spans="1:2">
      <c r="A271" s="18" t="s">
        <v>271</v>
      </c>
      <c r="B271" s="14">
        <v>18</v>
      </c>
    </row>
    <row r="272" spans="1:2">
      <c r="A272" s="18" t="s">
        <v>272</v>
      </c>
      <c r="B272" s="14">
        <v>18</v>
      </c>
    </row>
    <row r="273" spans="1:2">
      <c r="A273" s="13" t="s">
        <v>273</v>
      </c>
      <c r="B273" s="14">
        <v>66</v>
      </c>
    </row>
    <row r="274" spans="1:2">
      <c r="A274" s="18" t="s">
        <v>274</v>
      </c>
      <c r="B274" s="14">
        <v>400</v>
      </c>
    </row>
    <row r="275" spans="1:2">
      <c r="A275" s="18" t="s">
        <v>275</v>
      </c>
      <c r="B275" s="14">
        <v>75</v>
      </c>
    </row>
    <row r="276" spans="1:2">
      <c r="A276" s="18" t="s">
        <v>276</v>
      </c>
      <c r="B276" s="14">
        <v>15.34</v>
      </c>
    </row>
    <row r="277" spans="1:2">
      <c r="A277" s="18" t="s">
        <v>277</v>
      </c>
      <c r="B277" s="14">
        <v>15</v>
      </c>
    </row>
    <row r="278" spans="1:2">
      <c r="A278" s="18" t="s">
        <v>278</v>
      </c>
      <c r="B278" s="14">
        <v>70.8</v>
      </c>
    </row>
    <row r="279" spans="1:2">
      <c r="A279" s="22" t="s">
        <v>279</v>
      </c>
      <c r="B279" s="22">
        <v>3790</v>
      </c>
    </row>
    <row r="280" spans="1:2">
      <c r="A280" s="22" t="s">
        <v>280</v>
      </c>
      <c r="B280" s="22">
        <v>1517.5</v>
      </c>
    </row>
  </sheetData>
  <pageMargins left="0.75" right="0.75" top="0.39305555555555599" bottom="0.156944444444444" header="0.23611111111111099" footer="7.8472222222222193E-2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Sai Manoj</cp:lastModifiedBy>
  <dcterms:created xsi:type="dcterms:W3CDTF">2025-12-07T06:13:37Z</dcterms:created>
  <dcterms:modified xsi:type="dcterms:W3CDTF">2025-12-08T07:24:41Z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EBFF535230AF46E99E4E3BDF1FF4E3FD_11</vt:lpwstr>
  </property>
  <property fmtid="{D5CDD505-2E9C-101B-9397-08002B2CF9AE}" pid="3" name="KSOProductBuildVer">
    <vt:lpwstr>1033-12.2.0.23155</vt:lpwstr>
  </property>
</Properties>
</file>